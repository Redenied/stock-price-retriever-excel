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va\Desktop\"/>
    </mc:Choice>
  </mc:AlternateContent>
  <xr:revisionPtr revIDLastSave="0" documentId="13_ncr:1_{25EEBA68-7A99-4C27-8767-C609E33D1D53}" xr6:coauthVersionLast="47" xr6:coauthVersionMax="47" xr10:uidLastSave="{00000000-0000-0000-0000-000000000000}"/>
  <bookViews>
    <workbookView xWindow="-108" yWindow="-108" windowWidth="23256" windowHeight="12576" tabRatio="864" xr2:uid="{00000000-000D-0000-FFFF-FFFF00000000}"/>
  </bookViews>
  <sheets>
    <sheet name="Portfolio" sheetId="60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60" l="1"/>
  <c r="H5" i="60"/>
  <c r="H6" i="60"/>
  <c r="H8" i="60"/>
  <c r="H9" i="60"/>
  <c r="H10" i="60"/>
  <c r="H11" i="60"/>
  <c r="H14" i="60"/>
  <c r="H15" i="60"/>
  <c r="H21" i="60"/>
  <c r="H16" i="60"/>
  <c r="H17" i="60"/>
  <c r="H18" i="60"/>
  <c r="H12" i="60"/>
  <c r="H13" i="60"/>
  <c r="H19" i="60"/>
  <c r="H22" i="60"/>
  <c r="H24" i="60"/>
  <c r="H25" i="60"/>
  <c r="H7" i="60"/>
  <c r="H26" i="60"/>
  <c r="H2" i="60"/>
  <c r="H27" i="60"/>
  <c r="H23" i="60"/>
  <c r="H20" i="60"/>
  <c r="H28" i="60"/>
  <c r="H3" i="60"/>
  <c r="K4" i="60"/>
  <c r="K5" i="60"/>
  <c r="K6" i="60"/>
  <c r="K8" i="60"/>
  <c r="K9" i="60"/>
  <c r="K10" i="60"/>
  <c r="K11" i="60"/>
  <c r="K14" i="60"/>
  <c r="K15" i="60"/>
  <c r="K21" i="60"/>
  <c r="K16" i="60"/>
  <c r="K17" i="60"/>
  <c r="K18" i="60"/>
  <c r="K12" i="60"/>
  <c r="K13" i="60"/>
  <c r="K19" i="60"/>
  <c r="K22" i="60"/>
  <c r="K24" i="60"/>
  <c r="K25" i="60"/>
  <c r="K7" i="60"/>
  <c r="K26" i="60"/>
  <c r="K2" i="60"/>
  <c r="K27" i="60"/>
  <c r="K23" i="60"/>
  <c r="K20" i="60"/>
  <c r="K28" i="60"/>
  <c r="K3" i="60"/>
  <c r="H29" i="60" l="1"/>
  <c r="H32" i="60" s="1"/>
  <c r="B14" i="60" s="1"/>
  <c r="F3" i="60"/>
  <c r="F28" i="60"/>
  <c r="B16" i="60" l="1"/>
  <c r="B21" i="60"/>
  <c r="B24" i="60"/>
  <c r="B28" i="60"/>
  <c r="B6" i="60"/>
  <c r="B15" i="60"/>
  <c r="B25" i="60"/>
  <c r="B20" i="60"/>
  <c r="B22" i="60"/>
  <c r="B26" i="60"/>
  <c r="B9" i="60"/>
  <c r="B32" i="60"/>
  <c r="B11" i="60"/>
  <c r="B27" i="60"/>
  <c r="B13" i="60"/>
  <c r="B18" i="60"/>
  <c r="B2" i="60"/>
  <c r="B8" i="60"/>
  <c r="B17" i="60"/>
  <c r="B7" i="60"/>
  <c r="B10" i="60"/>
  <c r="B12" i="60"/>
  <c r="B19" i="60"/>
  <c r="B3" i="60"/>
  <c r="B4" i="60"/>
  <c r="B5" i="60"/>
  <c r="B23" i="60"/>
  <c r="I28" i="60"/>
  <c r="J28" i="60" s="1"/>
  <c r="F11" i="60" l="1"/>
  <c r="I11" i="60" l="1"/>
  <c r="J11" i="60" s="1"/>
  <c r="F2" i="60" l="1"/>
  <c r="F4" i="60"/>
  <c r="F6" i="60"/>
  <c r="I6" i="60" s="1"/>
  <c r="J6" i="60" s="1"/>
  <c r="I2" i="60" l="1"/>
  <c r="J2" i="60" s="1"/>
  <c r="I4" i="60"/>
  <c r="J4" i="60" s="1"/>
  <c r="F26" i="60" l="1"/>
  <c r="F20" i="60"/>
  <c r="F23" i="60"/>
  <c r="I23" i="60" s="1"/>
  <c r="J23" i="60" s="1"/>
  <c r="F7" i="60"/>
  <c r="F24" i="60"/>
  <c r="I24" i="60" s="1"/>
  <c r="J24" i="60" s="1"/>
  <c r="F27" i="60"/>
  <c r="F25" i="60"/>
  <c r="F22" i="60"/>
  <c r="F19" i="60"/>
  <c r="I19" i="60" s="1"/>
  <c r="J19" i="60" s="1"/>
  <c r="F12" i="60"/>
  <c r="F14" i="60"/>
  <c r="I14" i="60" s="1"/>
  <c r="J14" i="60" s="1"/>
  <c r="F13" i="60"/>
  <c r="I13" i="60" s="1"/>
  <c r="F15" i="60"/>
  <c r="I15" i="60" s="1"/>
  <c r="J15" i="60" s="1"/>
  <c r="F17" i="60"/>
  <c r="F21" i="60"/>
  <c r="F10" i="60"/>
  <c r="I26" i="60" l="1"/>
  <c r="J26" i="60" s="1"/>
  <c r="I12" i="60"/>
  <c r="J12" i="60" s="1"/>
  <c r="I25" i="60"/>
  <c r="J25" i="60" s="1"/>
  <c r="I20" i="60"/>
  <c r="J20" i="60" s="1"/>
  <c r="J13" i="60"/>
  <c r="I22" i="60"/>
  <c r="J22" i="60" s="1"/>
  <c r="I27" i="60"/>
  <c r="J27" i="60" s="1"/>
  <c r="I7" i="60"/>
  <c r="J7" i="60" s="1"/>
  <c r="I17" i="60"/>
  <c r="J17" i="60" s="1"/>
  <c r="I10" i="60"/>
  <c r="J10" i="60" s="1"/>
  <c r="I21" i="60"/>
  <c r="J21" i="60" s="1"/>
  <c r="F16" i="60"/>
  <c r="F18" i="60"/>
  <c r="I18" i="60" s="1"/>
  <c r="J18" i="60" s="1"/>
  <c r="I16" i="60" l="1"/>
  <c r="J16" i="60" s="1"/>
  <c r="F9" i="60" l="1"/>
  <c r="F8" i="60"/>
  <c r="F5" i="60"/>
  <c r="I9" i="60" l="1"/>
  <c r="J9" i="60" s="1"/>
  <c r="I5" i="60"/>
  <c r="J5" i="60" s="1"/>
  <c r="I8" i="60"/>
  <c r="J8" i="60" s="1"/>
  <c r="I3" i="60"/>
  <c r="I29" i="60" l="1"/>
  <c r="J3" i="60"/>
</calcChain>
</file>

<file path=xl/sharedStrings.xml><?xml version="1.0" encoding="utf-8"?>
<sst xmlns="http://schemas.openxmlformats.org/spreadsheetml/2006/main" count="43" uniqueCount="39">
  <si>
    <t>TOTAL</t>
  </si>
  <si>
    <t>N</t>
  </si>
  <si>
    <t>%</t>
  </si>
  <si>
    <t>profit</t>
  </si>
  <si>
    <t>profit %</t>
  </si>
  <si>
    <t>TSLA</t>
  </si>
  <si>
    <t>VTI</t>
  </si>
  <si>
    <t>VGT</t>
  </si>
  <si>
    <t>V</t>
  </si>
  <si>
    <t>BYND</t>
  </si>
  <si>
    <t>GNOM</t>
  </si>
  <si>
    <t>CHWY</t>
  </si>
  <si>
    <t>PHO</t>
  </si>
  <si>
    <t>VWO</t>
  </si>
  <si>
    <t>GOOGL</t>
  </si>
  <si>
    <t>AMZN</t>
  </si>
  <si>
    <t>FSLY</t>
  </si>
  <si>
    <t>SOXL</t>
  </si>
  <si>
    <t>BAC</t>
  </si>
  <si>
    <t>ARKK</t>
  </si>
  <si>
    <t>UPRO</t>
  </si>
  <si>
    <t>FNF</t>
  </si>
  <si>
    <t>AAPL</t>
  </si>
  <si>
    <t>SBUX</t>
  </si>
  <si>
    <t>VOO</t>
  </si>
  <si>
    <t>NVDA</t>
  </si>
  <si>
    <t>XLF</t>
  </si>
  <si>
    <t>VNQ</t>
  </si>
  <si>
    <t>SOXS</t>
  </si>
  <si>
    <t>CASH</t>
  </si>
  <si>
    <t>META</t>
  </si>
  <si>
    <t>day before</t>
  </si>
  <si>
    <t>Link</t>
  </si>
  <si>
    <t>symbol</t>
  </si>
  <si>
    <t>avg cost</t>
  </si>
  <si>
    <t>total cost</t>
  </si>
  <si>
    <t>BRK-B</t>
  </si>
  <si>
    <t>qty</t>
  </si>
  <si>
    <t>market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</si>
</sst>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164" fontId="0" fillId="0" borderId="0" xfId="1" applyFont="1"/>
    <xf numFmtId="0" fontId="0" fillId="0" borderId="0" xfId="0" applyAlignment="1">
      <alignment horizontal="center"/>
    </xf>
    <xf numFmtId="44" fontId="0" fillId="0" borderId="0" xfId="0" applyNumberFormat="1"/>
    <xf numFmtId="10" fontId="0" fillId="0" borderId="0" xfId="3" applyNumberFormat="1" applyFont="1" applyAlignment="1">
      <alignment horizontal="center"/>
    </xf>
    <xf numFmtId="0" fontId="0" fillId="0" borderId="0" xfId="0" applyAlignment="1">
      <alignment horizontal="right"/>
    </xf>
    <xf numFmtId="164" fontId="0" fillId="0" borderId="0" xfId="1" applyFont="1" applyAlignment="1">
      <alignment horizontal="center"/>
    </xf>
    <xf numFmtId="164" fontId="3" fillId="0" borderId="0" xfId="1" applyFont="1"/>
    <xf numFmtId="10" fontId="0" fillId="0" borderId="0" xfId="0" applyNumberFormat="1" applyAlignment="1">
      <alignment horizontal="center"/>
    </xf>
    <xf numFmtId="44" fontId="0" fillId="0" borderId="1" xfId="0" applyNumberFormat="1" applyBorder="1"/>
    <xf numFmtId="10" fontId="0" fillId="0" borderId="0" xfId="0" applyNumberFormat="1"/>
    <xf numFmtId="44" fontId="0" fillId="0" borderId="0" xfId="0" applyNumberFormat="1" applyAlignment="1">
      <alignment horizontal="left"/>
    </xf>
    <xf numFmtId="2" fontId="0" fillId="0" borderId="0" xfId="0" applyNumberFormat="1"/>
    <xf numFmtId="164" fontId="3" fillId="0" borderId="2" xfId="1" applyFont="1" applyBorder="1"/>
    <xf numFmtId="0" fontId="2" fillId="0" borderId="0" xfId="2"/>
    <xf numFmtId="10" fontId="3" fillId="0" borderId="3" xfId="3" applyNumberFormat="1" applyFont="1" applyBorder="1" applyAlignment="1">
      <alignment horizontal="center"/>
    </xf>
    <xf numFmtId="164" fontId="3" fillId="0" borderId="4" xfId="1" applyFont="1" applyBorder="1" applyAlignment="1">
      <alignment horizontal="center"/>
    </xf>
  </cellXfs>
  <cellStyles count="4">
    <cellStyle name="Hipervínculo" xfId="2" builtinId="8"/>
    <cellStyle name="Moneda" xfId="1" builtinId="4"/>
    <cellStyle name="Normal" xfId="0" builtinId="0"/>
    <cellStyle name="Porcentaje" xfId="3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9900"/>
      <color rgb="FFFFCCCC"/>
      <color rgb="FFFF5050"/>
      <color rgb="FFCCCCFF"/>
      <color rgb="FF996633"/>
      <color rgb="FFFFCC66"/>
      <color rgb="FFCC9900"/>
      <color rgb="FFCCECFF"/>
      <color rgb="FFFF7C80"/>
      <color rgb="FFA6B7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0</xdr:row>
          <xdr:rowOff>45720</xdr:rowOff>
        </xdr:from>
        <xdr:to>
          <xdr:col>12</xdr:col>
          <xdr:colOff>320040</xdr:colOff>
          <xdr:row>3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stock 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inance.yahoo.com/quote/" TargetMode="External"/><Relationship Id="rId1" Type="http://schemas.openxmlformats.org/officeDocument/2006/relationships/hyperlink" Target="https://finance.yahoo.com/quote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CA2BE-5E78-40DA-94B3-46B8F00689D3}">
  <sheetPr codeName="Hoja6"/>
  <dimension ref="A1:K43"/>
  <sheetViews>
    <sheetView tabSelected="1" topLeftCell="A10" zoomScaleNormal="100" workbookViewId="0">
      <selection activeCell="I29" sqref="I29"/>
    </sheetView>
  </sheetViews>
  <sheetFormatPr baseColWidth="10" defaultRowHeight="14.4" x14ac:dyDescent="0.3"/>
  <cols>
    <col min="1" max="1" width="5.33203125" style="2" customWidth="1"/>
    <col min="2" max="2" width="8" bestFit="1" customWidth="1"/>
    <col min="3" max="3" width="9.77734375" bestFit="1" customWidth="1"/>
    <col min="4" max="4" width="13" bestFit="1" customWidth="1"/>
    <col min="5" max="5" width="7" bestFit="1" customWidth="1"/>
    <col min="7" max="7" width="11.44140625" customWidth="1"/>
    <col min="8" max="8" width="11.44140625" bestFit="1" customWidth="1"/>
    <col min="9" max="9" width="12.88671875" bestFit="1" customWidth="1"/>
    <col min="10" max="10" width="7.6640625" bestFit="1" customWidth="1"/>
    <col min="11" max="11" width="37" customWidth="1"/>
  </cols>
  <sheetData>
    <row r="1" spans="1:11" x14ac:dyDescent="0.3">
      <c r="A1" s="2" t="s">
        <v>1</v>
      </c>
      <c r="B1" s="2" t="s">
        <v>2</v>
      </c>
      <c r="C1" s="2" t="s">
        <v>33</v>
      </c>
      <c r="D1" s="2" t="s">
        <v>34</v>
      </c>
      <c r="E1" s="2" t="s">
        <v>37</v>
      </c>
      <c r="F1" s="2" t="s">
        <v>35</v>
      </c>
      <c r="G1" s="2" t="s">
        <v>38</v>
      </c>
      <c r="H1" s="2" t="s">
        <v>38</v>
      </c>
      <c r="I1" s="2" t="s">
        <v>3</v>
      </c>
      <c r="J1" s="2" t="s">
        <v>4</v>
      </c>
      <c r="K1" s="2" t="s">
        <v>32</v>
      </c>
    </row>
    <row r="2" spans="1:11" x14ac:dyDescent="0.3">
      <c r="A2" s="2">
        <v>1</v>
      </c>
      <c r="B2" s="4">
        <f>H2/($H$32)</f>
        <v>0.16818843601618344</v>
      </c>
      <c r="C2" s="2" t="s">
        <v>25</v>
      </c>
      <c r="D2" s="6">
        <v>459.77</v>
      </c>
      <c r="E2" s="2">
        <v>2</v>
      </c>
      <c r="F2" s="3">
        <f>D2*E2</f>
        <v>919.54</v>
      </c>
      <c r="G2" s="7">
        <v>459.77</v>
      </c>
      <c r="H2" s="7">
        <f>E2*G2</f>
        <v>919.54</v>
      </c>
      <c r="I2" s="3">
        <f>H2-F2</f>
        <v>0</v>
      </c>
      <c r="J2" s="4">
        <f>I2/$F2</f>
        <v>0</v>
      </c>
      <c r="K2" s="14" t="str">
        <f>"https://finance.yahoo.com/quote/"&amp;C2</f>
        <v>https://finance.yahoo.com/quote/NVDA</v>
      </c>
    </row>
    <row r="3" spans="1:11" x14ac:dyDescent="0.3">
      <c r="A3" s="2">
        <v>2</v>
      </c>
      <c r="B3" s="4">
        <f>H3/($H$32)</f>
        <v>0.15248787340049602</v>
      </c>
      <c r="C3" s="2" t="s">
        <v>5</v>
      </c>
      <c r="D3" s="6">
        <v>277.89999999999998</v>
      </c>
      <c r="E3" s="2">
        <v>3</v>
      </c>
      <c r="F3" s="3">
        <f>D3*E3</f>
        <v>833.69999999999993</v>
      </c>
      <c r="G3" s="7">
        <v>277.89999999999998</v>
      </c>
      <c r="H3" s="7">
        <f>E3*G3</f>
        <v>833.69999999999993</v>
      </c>
      <c r="I3" s="3">
        <f>H3-F3</f>
        <v>0</v>
      </c>
      <c r="J3" s="4">
        <f>I3/$F3</f>
        <v>0</v>
      </c>
      <c r="K3" s="14" t="str">
        <f>"https://finance.yahoo.com/quote/"&amp;C3</f>
        <v>https://finance.yahoo.com/quote/TSLA</v>
      </c>
    </row>
    <row r="4" spans="1:11" x14ac:dyDescent="0.3">
      <c r="A4" s="2">
        <v>3</v>
      </c>
      <c r="B4" s="4">
        <f>H4/($H$32)</f>
        <v>8.2321868849820387E-2</v>
      </c>
      <c r="C4" s="2" t="s">
        <v>7</v>
      </c>
      <c r="D4" s="6">
        <v>450.08</v>
      </c>
      <c r="E4" s="2">
        <v>1</v>
      </c>
      <c r="F4" s="3">
        <f>D4*E4</f>
        <v>450.08</v>
      </c>
      <c r="G4" s="7">
        <v>450.08</v>
      </c>
      <c r="H4" s="7">
        <f>E4*G4</f>
        <v>450.08</v>
      </c>
      <c r="I4" s="3">
        <f>H4-F4</f>
        <v>0</v>
      </c>
      <c r="J4" s="4">
        <f>I4/$F4</f>
        <v>0</v>
      </c>
      <c r="K4" s="14" t="str">
        <f>"https://finance.yahoo.com/quote/"&amp;C4</f>
        <v>https://finance.yahoo.com/quote/VGT</v>
      </c>
    </row>
    <row r="5" spans="1:11" x14ac:dyDescent="0.3">
      <c r="A5" s="2">
        <v>4</v>
      </c>
      <c r="B5" s="4">
        <f>H5/($H$32)</f>
        <v>8.2043853295581753E-2</v>
      </c>
      <c r="C5" s="2" t="s">
        <v>6</v>
      </c>
      <c r="D5" s="6">
        <v>224.28</v>
      </c>
      <c r="E5" s="2">
        <v>2</v>
      </c>
      <c r="F5" s="3">
        <f>D5*E5</f>
        <v>448.56</v>
      </c>
      <c r="G5" s="7">
        <v>224.28</v>
      </c>
      <c r="H5" s="7">
        <f>E5*G5</f>
        <v>448.56</v>
      </c>
      <c r="I5" s="3">
        <f>H5-F5</f>
        <v>0</v>
      </c>
      <c r="J5" s="4">
        <f>I5/$F5</f>
        <v>0</v>
      </c>
      <c r="K5" s="14" t="str">
        <f>"https://finance.yahoo.com/quote/"&amp;C5</f>
        <v>https://finance.yahoo.com/quote/VTI</v>
      </c>
    </row>
    <row r="6" spans="1:11" x14ac:dyDescent="0.3">
      <c r="A6" s="2">
        <v>5</v>
      </c>
      <c r="B6" s="4">
        <f>H6/($H$32)</f>
        <v>7.5558043063146119E-2</v>
      </c>
      <c r="C6" s="2" t="s">
        <v>24</v>
      </c>
      <c r="D6" s="6">
        <v>413.1</v>
      </c>
      <c r="E6" s="2">
        <v>1</v>
      </c>
      <c r="F6" s="3">
        <f>D6*E6</f>
        <v>413.1</v>
      </c>
      <c r="G6" s="7">
        <v>413.1</v>
      </c>
      <c r="H6" s="7">
        <f>E6*G6</f>
        <v>413.1</v>
      </c>
      <c r="I6" s="3">
        <f>H6-F6</f>
        <v>0</v>
      </c>
      <c r="J6" s="4">
        <f>I6/$F6</f>
        <v>0</v>
      </c>
      <c r="K6" s="14" t="str">
        <f>"https://finance.yahoo.com/quote/"&amp;C6</f>
        <v>https://finance.yahoo.com/quote/VOO</v>
      </c>
    </row>
    <row r="7" spans="1:11" x14ac:dyDescent="0.3">
      <c r="A7" s="2">
        <v>6</v>
      </c>
      <c r="B7" s="4">
        <f>H7/($H$32)</f>
        <v>6.2835173357330479E-2</v>
      </c>
      <c r="C7" s="2" t="s">
        <v>36</v>
      </c>
      <c r="D7" s="6">
        <v>343.54</v>
      </c>
      <c r="E7" s="2">
        <v>1</v>
      </c>
      <c r="F7" s="3">
        <f>D7*E7</f>
        <v>343.54</v>
      </c>
      <c r="G7" s="7">
        <v>343.54</v>
      </c>
      <c r="H7" s="7">
        <f>E7*G7</f>
        <v>343.54</v>
      </c>
      <c r="I7" s="3">
        <f>H7-F7</f>
        <v>0</v>
      </c>
      <c r="J7" s="4">
        <f>I7/$F7</f>
        <v>0</v>
      </c>
      <c r="K7" s="14" t="str">
        <f>"https://finance.yahoo.com/quote/"&amp;C7</f>
        <v>https://finance.yahoo.com/quote/BRK-B</v>
      </c>
    </row>
    <row r="8" spans="1:11" x14ac:dyDescent="0.3">
      <c r="A8" s="2">
        <v>7</v>
      </c>
      <c r="B8" s="4">
        <f>H8/($H$32)</f>
        <v>5.7324246614429017E-2</v>
      </c>
      <c r="C8" s="2" t="s">
        <v>30</v>
      </c>
      <c r="D8" s="6">
        <v>313.41000000000003</v>
      </c>
      <c r="E8" s="2">
        <v>1</v>
      </c>
      <c r="F8" s="3">
        <f>D8*E8</f>
        <v>313.41000000000003</v>
      </c>
      <c r="G8" s="7">
        <v>313.41000000000003</v>
      </c>
      <c r="H8" s="7">
        <f>E8*G8</f>
        <v>313.41000000000003</v>
      </c>
      <c r="I8" s="3">
        <f>H8-F8</f>
        <v>0</v>
      </c>
      <c r="J8" s="4">
        <f>I8/$F8</f>
        <v>0</v>
      </c>
      <c r="K8" s="14" t="str">
        <f>"https://finance.yahoo.com/quote/"&amp;C8</f>
        <v>https://finance.yahoo.com/quote/META</v>
      </c>
    </row>
    <row r="9" spans="1:11" x14ac:dyDescent="0.3">
      <c r="A9" s="2">
        <v>8</v>
      </c>
      <c r="B9" s="4">
        <f>H9/($H$32)</f>
        <v>4.4502608224870691E-2</v>
      </c>
      <c r="C9" s="2" t="s">
        <v>8</v>
      </c>
      <c r="D9" s="6">
        <v>243.31</v>
      </c>
      <c r="E9" s="2">
        <v>1</v>
      </c>
      <c r="F9" s="3">
        <f>D9*E9</f>
        <v>243.31</v>
      </c>
      <c r="G9" s="7">
        <v>243.31</v>
      </c>
      <c r="H9" s="7">
        <f>E9*G9</f>
        <v>243.31</v>
      </c>
      <c r="I9" s="3">
        <f>H9-F9</f>
        <v>0</v>
      </c>
      <c r="J9" s="4">
        <f>I9/$F9</f>
        <v>0</v>
      </c>
      <c r="K9" s="14" t="str">
        <f>"https://finance.yahoo.com/quote/"&amp;C9</f>
        <v>https://finance.yahoo.com/quote/V</v>
      </c>
    </row>
    <row r="10" spans="1:11" x14ac:dyDescent="0.3">
      <c r="A10" s="2">
        <v>9</v>
      </c>
      <c r="B10" s="4">
        <f>H10/($H$32)</f>
        <v>3.4850712963572644E-2</v>
      </c>
      <c r="C10" s="2" t="s">
        <v>22</v>
      </c>
      <c r="D10" s="6">
        <v>190.54</v>
      </c>
      <c r="E10" s="2">
        <v>1</v>
      </c>
      <c r="F10" s="3">
        <f>D10*E10</f>
        <v>190.54</v>
      </c>
      <c r="G10" s="7">
        <v>190.54</v>
      </c>
      <c r="H10" s="7">
        <f>E10*G10</f>
        <v>190.54</v>
      </c>
      <c r="I10" s="3">
        <f>H10-F10</f>
        <v>0</v>
      </c>
      <c r="J10" s="4">
        <f>I10/$F10</f>
        <v>0</v>
      </c>
      <c r="K10" s="14" t="str">
        <f>"https://finance.yahoo.com/quote/"&amp;C10</f>
        <v>https://finance.yahoo.com/quote/AAPL</v>
      </c>
    </row>
    <row r="11" spans="1:11" x14ac:dyDescent="0.3">
      <c r="A11" s="2">
        <v>10</v>
      </c>
      <c r="B11" s="4">
        <f>H11/($H$32)</f>
        <v>2.4564137456742977E-2</v>
      </c>
      <c r="C11" s="2" t="s">
        <v>15</v>
      </c>
      <c r="D11" s="6">
        <v>134.30000000000001</v>
      </c>
      <c r="E11" s="2">
        <v>1</v>
      </c>
      <c r="F11" s="3">
        <f>D11*E11</f>
        <v>134.30000000000001</v>
      </c>
      <c r="G11" s="7">
        <v>134.30000000000001</v>
      </c>
      <c r="H11" s="7">
        <f>E11*G11</f>
        <v>134.30000000000001</v>
      </c>
      <c r="I11" s="3">
        <f>H11-F11</f>
        <v>0</v>
      </c>
      <c r="J11" s="4">
        <f>I11/$F11</f>
        <v>0</v>
      </c>
      <c r="K11" s="14" t="str">
        <f>"https://finance.yahoo.com/quote/"&amp;C11</f>
        <v>https://finance.yahoo.com/quote/AMZN</v>
      </c>
    </row>
    <row r="12" spans="1:11" x14ac:dyDescent="0.3">
      <c r="A12" s="2">
        <v>11</v>
      </c>
      <c r="B12" s="4">
        <f>H12/($H$32)</f>
        <v>2.4564137456742977E-2</v>
      </c>
      <c r="C12" s="2" t="s">
        <v>15</v>
      </c>
      <c r="D12" s="6">
        <v>134.30000000000001</v>
      </c>
      <c r="E12" s="2">
        <v>1</v>
      </c>
      <c r="F12" s="3">
        <f>D12*E12</f>
        <v>134.30000000000001</v>
      </c>
      <c r="G12" s="7">
        <v>134.30000000000001</v>
      </c>
      <c r="H12" s="7">
        <f>E12*G12</f>
        <v>134.30000000000001</v>
      </c>
      <c r="I12" s="3">
        <f>H12-F12</f>
        <v>0</v>
      </c>
      <c r="J12" s="4">
        <f>I12/$F12</f>
        <v>0</v>
      </c>
      <c r="K12" s="14" t="str">
        <f>"https://finance.yahoo.com/quote/"&amp;C12</f>
        <v>https://finance.yahoo.com/quote/AMZN</v>
      </c>
    </row>
    <row r="13" spans="1:11" x14ac:dyDescent="0.3">
      <c r="A13" s="2">
        <v>12</v>
      </c>
      <c r="B13" s="4">
        <f>H13/($H$32)</f>
        <v>2.2778984950579079E-2</v>
      </c>
      <c r="C13" s="2" t="s">
        <v>14</v>
      </c>
      <c r="D13" s="6">
        <v>124.54</v>
      </c>
      <c r="E13" s="2">
        <v>1</v>
      </c>
      <c r="F13" s="3">
        <f>D13*E13</f>
        <v>124.54</v>
      </c>
      <c r="G13" s="7">
        <v>124.54</v>
      </c>
      <c r="H13" s="7">
        <f>E13*G13</f>
        <v>124.54</v>
      </c>
      <c r="I13" s="3">
        <f>H13-F13</f>
        <v>0</v>
      </c>
      <c r="J13" s="4">
        <f>I13/$F13</f>
        <v>0</v>
      </c>
      <c r="K13" s="14" t="str">
        <f>"https://finance.yahoo.com/quote/"&amp;C13</f>
        <v>https://finance.yahoo.com/quote/GOOGL</v>
      </c>
    </row>
    <row r="14" spans="1:11" x14ac:dyDescent="0.3">
      <c r="A14" s="2">
        <v>13</v>
      </c>
      <c r="B14" s="4">
        <f>H14/($H$32)</f>
        <v>1.8919690085819011E-2</v>
      </c>
      <c r="C14" s="2" t="s">
        <v>26</v>
      </c>
      <c r="D14" s="6">
        <v>34.479999999999997</v>
      </c>
      <c r="E14" s="2">
        <v>3</v>
      </c>
      <c r="F14" s="3">
        <f>D14*E14</f>
        <v>103.44</v>
      </c>
      <c r="G14" s="7">
        <v>34.479999999999997</v>
      </c>
      <c r="H14" s="7">
        <f>E14*G14</f>
        <v>103.44</v>
      </c>
      <c r="I14" s="3">
        <f>H14-F14</f>
        <v>0</v>
      </c>
      <c r="J14" s="4">
        <f>I14/$F14</f>
        <v>0</v>
      </c>
      <c r="K14" s="14" t="str">
        <f>"https://finance.yahoo.com/quote/"&amp;C14</f>
        <v>https://finance.yahoo.com/quote/XLF</v>
      </c>
    </row>
    <row r="15" spans="1:11" x14ac:dyDescent="0.3">
      <c r="A15" s="2">
        <v>14</v>
      </c>
      <c r="B15" s="4">
        <f>H15/($H$32)</f>
        <v>1.8583144941214342E-2</v>
      </c>
      <c r="C15" s="2" t="s">
        <v>23</v>
      </c>
      <c r="D15" s="6">
        <v>101.6</v>
      </c>
      <c r="E15" s="2">
        <v>1</v>
      </c>
      <c r="F15" s="3">
        <f>D15*E15</f>
        <v>101.6</v>
      </c>
      <c r="G15" s="7">
        <v>101.6</v>
      </c>
      <c r="H15" s="7">
        <f>E15*G15</f>
        <v>101.6</v>
      </c>
      <c r="I15" s="3">
        <f>H15-F15</f>
        <v>0</v>
      </c>
      <c r="J15" s="4">
        <f>I15/$F15</f>
        <v>0</v>
      </c>
      <c r="K15" s="14" t="str">
        <f>"https://finance.yahoo.com/quote/"&amp;C15</f>
        <v>https://finance.yahoo.com/quote/SBUX</v>
      </c>
    </row>
    <row r="16" spans="1:11" x14ac:dyDescent="0.3">
      <c r="A16" s="2">
        <v>15</v>
      </c>
      <c r="B16" s="4">
        <f>H16/($H$32)</f>
        <v>1.6280371370250873E-2</v>
      </c>
      <c r="C16" s="2" t="s">
        <v>18</v>
      </c>
      <c r="D16" s="6">
        <v>29.67</v>
      </c>
      <c r="E16" s="2">
        <v>3</v>
      </c>
      <c r="F16" s="3">
        <f>D16*E16</f>
        <v>89.01</v>
      </c>
      <c r="G16" s="7">
        <v>29.67</v>
      </c>
      <c r="H16" s="7">
        <f>E16*G16</f>
        <v>89.01</v>
      </c>
      <c r="I16" s="3">
        <f>H16-F16</f>
        <v>0</v>
      </c>
      <c r="J16" s="4">
        <f>I16/$F16</f>
        <v>0</v>
      </c>
      <c r="K16" s="14" t="str">
        <f>"https://finance.yahoo.com/quote/"&amp;C16</f>
        <v>https://finance.yahoo.com/quote/BAC</v>
      </c>
    </row>
    <row r="17" spans="1:11" x14ac:dyDescent="0.3">
      <c r="A17" s="2">
        <v>16</v>
      </c>
      <c r="B17" s="4">
        <f>H17/($H$32)</f>
        <v>1.5784698901838562E-2</v>
      </c>
      <c r="C17" s="2" t="s">
        <v>27</v>
      </c>
      <c r="D17" s="6">
        <v>86.3</v>
      </c>
      <c r="E17" s="2">
        <v>1</v>
      </c>
      <c r="F17" s="3">
        <f>D17*E17</f>
        <v>86.3</v>
      </c>
      <c r="G17" s="7">
        <v>86.3</v>
      </c>
      <c r="H17" s="7">
        <f>E17*G17</f>
        <v>86.3</v>
      </c>
      <c r="I17" s="3">
        <f>H17-F17</f>
        <v>0</v>
      </c>
      <c r="J17" s="4">
        <f>I17/$F17</f>
        <v>0</v>
      </c>
      <c r="K17" s="14" t="str">
        <f>"https://finance.yahoo.com/quote/"&amp;C17</f>
        <v>https://finance.yahoo.com/quote/VNQ</v>
      </c>
    </row>
    <row r="18" spans="1:11" x14ac:dyDescent="0.3">
      <c r="A18" s="2">
        <v>17</v>
      </c>
      <c r="B18" s="4">
        <f>H18/($H$32)</f>
        <v>1.4968942736112026E-2</v>
      </c>
      <c r="C18" s="2" t="s">
        <v>17</v>
      </c>
      <c r="D18" s="6">
        <v>27.28</v>
      </c>
      <c r="E18" s="2">
        <v>3</v>
      </c>
      <c r="F18" s="3">
        <f>D18*E18</f>
        <v>81.84</v>
      </c>
      <c r="G18" s="7">
        <v>27.28</v>
      </c>
      <c r="H18" s="7">
        <f>E18*G18</f>
        <v>81.84</v>
      </c>
      <c r="I18" s="3">
        <f>H18-F18</f>
        <v>0</v>
      </c>
      <c r="J18" s="4">
        <f>I18/$F18</f>
        <v>0</v>
      </c>
      <c r="K18" s="14" t="str">
        <f>"https://finance.yahoo.com/quote/"&amp;C18</f>
        <v>https://finance.yahoo.com/quote/SOXL</v>
      </c>
    </row>
    <row r="19" spans="1:11" x14ac:dyDescent="0.3">
      <c r="A19" s="2">
        <v>18</v>
      </c>
      <c r="B19" s="4">
        <f>H19/($H$32)</f>
        <v>1.0421925184551114E-2</v>
      </c>
      <c r="C19" s="2" t="s">
        <v>12</v>
      </c>
      <c r="D19" s="6">
        <v>56.98</v>
      </c>
      <c r="E19" s="2">
        <v>1</v>
      </c>
      <c r="F19" s="3">
        <f>D19*E19</f>
        <v>56.98</v>
      </c>
      <c r="G19" s="7">
        <v>56.98</v>
      </c>
      <c r="H19" s="7">
        <f>E19*G19</f>
        <v>56.98</v>
      </c>
      <c r="I19" s="3">
        <f>H19-F19</f>
        <v>0</v>
      </c>
      <c r="J19" s="4">
        <f>I19/$F19</f>
        <v>0</v>
      </c>
      <c r="K19" s="14" t="str">
        <f>"https://finance.yahoo.com/quote/"&amp;C19</f>
        <v>https://finance.yahoo.com/quote/PHO</v>
      </c>
    </row>
    <row r="20" spans="1:11" x14ac:dyDescent="0.3">
      <c r="A20" s="2">
        <v>19</v>
      </c>
      <c r="B20" s="4">
        <f>H20/($H$32)</f>
        <v>9.0775736558313773E-3</v>
      </c>
      <c r="C20" s="2" t="s">
        <v>19</v>
      </c>
      <c r="D20" s="6">
        <v>49.63</v>
      </c>
      <c r="E20" s="2">
        <v>1</v>
      </c>
      <c r="F20" s="3">
        <f>D20*E20</f>
        <v>49.63</v>
      </c>
      <c r="G20" s="7">
        <v>49.63</v>
      </c>
      <c r="H20" s="7">
        <f>E20*G20</f>
        <v>49.63</v>
      </c>
      <c r="I20" s="3">
        <f>H20-F20</f>
        <v>0</v>
      </c>
      <c r="J20" s="4">
        <f>I20/$F20</f>
        <v>0</v>
      </c>
      <c r="K20" s="14" t="str">
        <f>"https://finance.yahoo.com/quote/"&amp;C20</f>
        <v>https://finance.yahoo.com/quote/ARKK</v>
      </c>
    </row>
    <row r="21" spans="1:11" x14ac:dyDescent="0.3">
      <c r="A21" s="2">
        <v>20</v>
      </c>
      <c r="B21" s="4">
        <f>H21/($H$32)</f>
        <v>8.9952664193791478E-3</v>
      </c>
      <c r="C21" s="2" t="s">
        <v>20</v>
      </c>
      <c r="D21" s="6">
        <v>49.18</v>
      </c>
      <c r="E21" s="2">
        <v>1</v>
      </c>
      <c r="F21" s="3">
        <f>D21*E21</f>
        <v>49.18</v>
      </c>
      <c r="G21" s="7">
        <v>49.18</v>
      </c>
      <c r="H21" s="7">
        <f>E21*G21</f>
        <v>49.18</v>
      </c>
      <c r="I21" s="3">
        <f>H21-F21</f>
        <v>0</v>
      </c>
      <c r="J21" s="4">
        <f>I21/$F21</f>
        <v>0</v>
      </c>
      <c r="K21" s="14" t="str">
        <f>"https://finance.yahoo.com/quote/"&amp;C21</f>
        <v>https://finance.yahoo.com/quote/UPRO</v>
      </c>
    </row>
    <row r="22" spans="1:11" x14ac:dyDescent="0.3">
      <c r="A22" s="2">
        <v>21</v>
      </c>
      <c r="B22" s="4">
        <f>H22/($H$32)</f>
        <v>7.716760679821192E-3</v>
      </c>
      <c r="C22" s="2" t="s">
        <v>13</v>
      </c>
      <c r="D22" s="6">
        <v>42.19</v>
      </c>
      <c r="E22" s="2">
        <v>1</v>
      </c>
      <c r="F22" s="3">
        <f>D22*E22</f>
        <v>42.19</v>
      </c>
      <c r="G22" s="7">
        <v>42.19</v>
      </c>
      <c r="H22" s="7">
        <f>E22*G22</f>
        <v>42.19</v>
      </c>
      <c r="I22" s="3">
        <f>H22-F22</f>
        <v>0</v>
      </c>
      <c r="J22" s="4">
        <f>I22/$F22</f>
        <v>0</v>
      </c>
      <c r="K22" s="14" t="str">
        <f>"https://finance.yahoo.com/quote/"&amp;C22</f>
        <v>https://finance.yahoo.com/quote/VWO</v>
      </c>
    </row>
    <row r="23" spans="1:11" x14ac:dyDescent="0.3">
      <c r="A23" s="2">
        <v>22</v>
      </c>
      <c r="B23" s="4">
        <f>H23/($H$32)</f>
        <v>7.0198927445256553E-3</v>
      </c>
      <c r="C23" s="2" t="s">
        <v>21</v>
      </c>
      <c r="D23" s="6">
        <v>38.380000000000003</v>
      </c>
      <c r="E23" s="2">
        <v>1</v>
      </c>
      <c r="F23" s="3">
        <f>D23*E23</f>
        <v>38.380000000000003</v>
      </c>
      <c r="G23" s="7">
        <v>38.380000000000003</v>
      </c>
      <c r="H23" s="7">
        <f>E23*G23</f>
        <v>38.380000000000003</v>
      </c>
      <c r="I23" s="3">
        <f>H23-F23</f>
        <v>0</v>
      </c>
      <c r="J23" s="4">
        <f>I23/$F23</f>
        <v>0</v>
      </c>
      <c r="K23" s="14" t="str">
        <f>"https://finance.yahoo.com/quote/"&amp;C23</f>
        <v>https://finance.yahoo.com/quote/FNF</v>
      </c>
    </row>
    <row r="24" spans="1:11" x14ac:dyDescent="0.3">
      <c r="A24" s="2">
        <v>23</v>
      </c>
      <c r="B24" s="4">
        <f>H24/($H$32)</f>
        <v>6.8936883152989036E-3</v>
      </c>
      <c r="C24" s="2" t="s">
        <v>11</v>
      </c>
      <c r="D24" s="6">
        <v>37.69</v>
      </c>
      <c r="E24" s="2">
        <v>1</v>
      </c>
      <c r="F24" s="3">
        <f>D24*E24</f>
        <v>37.69</v>
      </c>
      <c r="G24" s="7">
        <v>37.69</v>
      </c>
      <c r="H24" s="7">
        <f>E24*G24</f>
        <v>37.69</v>
      </c>
      <c r="I24" s="3">
        <f>H24-F24</f>
        <v>0</v>
      </c>
      <c r="J24" s="4">
        <f>I24/$F24</f>
        <v>0</v>
      </c>
      <c r="K24" s="14" t="str">
        <f>"https://finance.yahoo.com/quote/"&amp;C24</f>
        <v>https://finance.yahoo.com/quote/CHWY</v>
      </c>
    </row>
    <row r="25" spans="1:11" x14ac:dyDescent="0.3">
      <c r="A25" s="2">
        <v>24</v>
      </c>
      <c r="B25" s="4">
        <f>H25/($H$32)</f>
        <v>6.8479620728254427E-3</v>
      </c>
      <c r="C25" s="2" t="s">
        <v>10</v>
      </c>
      <c r="D25" s="6">
        <v>12.48</v>
      </c>
      <c r="E25" s="2">
        <v>3</v>
      </c>
      <c r="F25" s="3">
        <f>D25*E25</f>
        <v>37.44</v>
      </c>
      <c r="G25" s="7">
        <v>12.48</v>
      </c>
      <c r="H25" s="7">
        <f>E25*G25</f>
        <v>37.44</v>
      </c>
      <c r="I25" s="3">
        <f>H25-F25</f>
        <v>0</v>
      </c>
      <c r="J25" s="4">
        <f>I25/$F25</f>
        <v>0</v>
      </c>
      <c r="K25" s="14" t="str">
        <f>"https://finance.yahoo.com/quote/"&amp;C25</f>
        <v>https://finance.yahoo.com/quote/GNOM</v>
      </c>
    </row>
    <row r="26" spans="1:11" x14ac:dyDescent="0.3">
      <c r="A26" s="2">
        <v>25</v>
      </c>
      <c r="B26" s="4">
        <f>H26/($H$32)</f>
        <v>3.3252123526700469E-3</v>
      </c>
      <c r="C26" s="2" t="s">
        <v>16</v>
      </c>
      <c r="D26" s="6">
        <v>18.18</v>
      </c>
      <c r="E26" s="2">
        <v>1</v>
      </c>
      <c r="F26" s="3">
        <f>D26*E26</f>
        <v>18.18</v>
      </c>
      <c r="G26" s="7">
        <v>18.18</v>
      </c>
      <c r="H26" s="7">
        <f>E26*G26</f>
        <v>18.18</v>
      </c>
      <c r="I26" s="3">
        <f>H26-F26</f>
        <v>0</v>
      </c>
      <c r="J26" s="4">
        <f>I26/$F26</f>
        <v>0</v>
      </c>
      <c r="K26" s="14" t="str">
        <f>"https://finance.yahoo.com/quote/"&amp;C26</f>
        <v>https://finance.yahoo.com/quote/FSLY</v>
      </c>
    </row>
    <row r="27" spans="1:11" x14ac:dyDescent="0.3">
      <c r="A27" s="2">
        <v>26</v>
      </c>
      <c r="B27" s="4">
        <f>H27/($H$32)</f>
        <v>3.2319308180241879E-3</v>
      </c>
      <c r="C27" s="2" t="s">
        <v>9</v>
      </c>
      <c r="D27" s="6">
        <v>17.670000000000002</v>
      </c>
      <c r="E27" s="2">
        <v>1</v>
      </c>
      <c r="F27" s="3">
        <f>D27*E27</f>
        <v>17.670000000000002</v>
      </c>
      <c r="G27" s="7">
        <v>17.670000000000002</v>
      </c>
      <c r="H27" s="7">
        <f>E27*G27</f>
        <v>17.670000000000002</v>
      </c>
      <c r="I27" s="3">
        <f>H27-F27</f>
        <v>0</v>
      </c>
      <c r="J27" s="4">
        <f>I27/$F27</f>
        <v>0</v>
      </c>
      <c r="K27" s="14" t="str">
        <f>"https://finance.yahoo.com/quote/"&amp;C27</f>
        <v>https://finance.yahoo.com/quote/BYND</v>
      </c>
    </row>
    <row r="28" spans="1:11" x14ac:dyDescent="0.3">
      <c r="A28" s="2">
        <v>27</v>
      </c>
      <c r="B28" s="4">
        <f>H28/($H$32)</f>
        <v>1.622367082958378E-3</v>
      </c>
      <c r="C28" s="2" t="s">
        <v>28</v>
      </c>
      <c r="D28" s="6">
        <v>8.8699999999999992</v>
      </c>
      <c r="E28" s="2">
        <v>1</v>
      </c>
      <c r="F28" s="3">
        <f>D28*E28</f>
        <v>8.8699999999999992</v>
      </c>
      <c r="G28" s="7">
        <v>8.8699999999999992</v>
      </c>
      <c r="H28" s="13">
        <f>E28*G28</f>
        <v>8.8699999999999992</v>
      </c>
      <c r="I28" s="3">
        <f>H28-F28</f>
        <v>0</v>
      </c>
      <c r="J28" s="4">
        <f>I28/$F28</f>
        <v>0</v>
      </c>
      <c r="K28" s="14" t="str">
        <f>"https://finance.yahoo.com/quote/"&amp;C28</f>
        <v>https://finance.yahoo.com/quote/SOXS</v>
      </c>
    </row>
    <row r="29" spans="1:11" x14ac:dyDescent="0.3">
      <c r="B29" s="8"/>
      <c r="C29" s="2"/>
      <c r="D29" s="6"/>
      <c r="E29" s="2"/>
      <c r="F29" s="3"/>
      <c r="G29" s="1"/>
      <c r="H29" s="7">
        <f>SUM(H2:H28)</f>
        <v>5367.32</v>
      </c>
      <c r="I29" s="9">
        <f>SUM(I2:I28)</f>
        <v>0</v>
      </c>
      <c r="J29" s="4"/>
      <c r="K29" s="14"/>
    </row>
    <row r="30" spans="1:11" x14ac:dyDescent="0.3">
      <c r="D30" s="3"/>
      <c r="G30" s="5"/>
      <c r="H30" s="7"/>
      <c r="I30" s="1">
        <v>0</v>
      </c>
      <c r="J30" s="11" t="s">
        <v>31</v>
      </c>
      <c r="K30" s="14"/>
    </row>
    <row r="31" spans="1:11" x14ac:dyDescent="0.3">
      <c r="I31" s="12"/>
    </row>
    <row r="32" spans="1:11" x14ac:dyDescent="0.3">
      <c r="B32" s="4">
        <f>D32/H32</f>
        <v>1.8290496989384196E-2</v>
      </c>
      <c r="C32" s="2" t="s">
        <v>29</v>
      </c>
      <c r="D32" s="1">
        <v>100</v>
      </c>
      <c r="G32" s="15" t="s">
        <v>0</v>
      </c>
      <c r="H32" s="16">
        <f>H29+D32</f>
        <v>5467.32</v>
      </c>
    </row>
    <row r="33" spans="2:9" x14ac:dyDescent="0.3">
      <c r="C33" s="5" t="s">
        <v>31</v>
      </c>
      <c r="D33" s="1">
        <v>100</v>
      </c>
      <c r="H33" s="1">
        <v>0</v>
      </c>
      <c r="I33" t="s">
        <v>31</v>
      </c>
    </row>
    <row r="34" spans="2:9" x14ac:dyDescent="0.3">
      <c r="C34" s="2"/>
      <c r="G34" s="4"/>
      <c r="H34" s="4"/>
    </row>
    <row r="36" spans="2:9" x14ac:dyDescent="0.3">
      <c r="G36" s="4"/>
      <c r="H36" s="4"/>
    </row>
    <row r="37" spans="2:9" x14ac:dyDescent="0.3">
      <c r="B37" s="10"/>
      <c r="D37" s="3"/>
    </row>
    <row r="38" spans="2:9" x14ac:dyDescent="0.3">
      <c r="G38" s="4"/>
      <c r="H38" s="4"/>
    </row>
    <row r="40" spans="2:9" x14ac:dyDescent="0.3">
      <c r="G40" s="4"/>
      <c r="H40" s="4"/>
    </row>
    <row r="41" spans="2:9" x14ac:dyDescent="0.3">
      <c r="G41" s="4"/>
      <c r="H41" s="4"/>
    </row>
    <row r="42" spans="2:9" x14ac:dyDescent="0.3">
      <c r="G42" s="4"/>
      <c r="H42" s="4"/>
    </row>
    <row r="43" spans="2:9" x14ac:dyDescent="0.3">
      <c r="C43" s="2"/>
      <c r="D43" s="2"/>
      <c r="E43" s="2"/>
      <c r="F43" s="2"/>
    </row>
  </sheetData>
  <sortState xmlns:xlrd2="http://schemas.microsoft.com/office/spreadsheetml/2017/richdata2" ref="B2:K28">
    <sortCondition descending="1" ref="B2:B28"/>
  </sortState>
  <conditionalFormatting sqref="I29">
    <cfRule type="cellIs" dxfId="3" priority="17" operator="lessThan">
      <formula>0</formula>
    </cfRule>
    <cfRule type="cellIs" dxfId="2" priority="18" operator="greaterThan">
      <formula>0</formula>
    </cfRule>
  </conditionalFormatting>
  <conditionalFormatting sqref="J2:J29">
    <cfRule type="cellIs" dxfId="1" priority="1" operator="greaterThan">
      <formula>0</formula>
    </cfRule>
    <cfRule type="cellIs" dxfId="0" priority="2" operator="lessThan">
      <formula>0</formula>
    </cfRule>
  </conditionalFormatting>
  <hyperlinks>
    <hyperlink ref="K3" r:id="rId1" display="https://finance.yahoo.com/quote/" xr:uid="{B67FA3A8-EC47-480B-AE50-10F23B277A78}"/>
    <hyperlink ref="K3:K28" r:id="rId2" display="https://finance.yahoo.com/quote/" xr:uid="{77DC16C3-07A4-4C03-8E74-9619AD09237E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 macro="[0]!StockRetrieve">
                <anchor moveWithCells="1" sizeWithCells="1">
                  <from>
                    <xdr:col>11</xdr:col>
                    <xdr:colOff>45720</xdr:colOff>
                    <xdr:row>0</xdr:row>
                    <xdr:rowOff>45720</xdr:rowOff>
                  </from>
                  <to>
                    <xdr:col>12</xdr:col>
                    <xdr:colOff>320040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Portfolio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esteban avalos</dc:creator>
  <cp:lastModifiedBy>Salvador Salas</cp:lastModifiedBy>
  <dcterms:created xsi:type="dcterms:W3CDTF">2018-06-15T02:50:36Z</dcterms:created>
  <dcterms:modified xsi:type="dcterms:W3CDTF">2023-07-14T04:41:46Z</dcterms:modified>
</cp:coreProperties>
</file>